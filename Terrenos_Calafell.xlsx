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renos" sheetId="1" r:id="rId4"/>
    <sheet state="visible" name="Ranking EurxM2" sheetId="2" r:id="rId5"/>
  </sheets>
  <definedNames/>
  <calcPr/>
  <extLst>
    <ext uri="GoogleSheetsCustomDataVersion2">
      <go:sheetsCustomData xmlns:go="http://customooxmlschemas.google.com/" r:id="rId6" roundtripDataChecksum="hWif4eKlTPomHbpsuM/76qzL6j/N0bzqA7AgegCseZI="/>
    </ext>
  </extLst>
</workbook>
</file>

<file path=xl/sharedStrings.xml><?xml version="1.0" encoding="utf-8"?>
<sst xmlns="http://schemas.openxmlformats.org/spreadsheetml/2006/main" count="147" uniqueCount="90">
  <si>
    <t>🏗️  TRACKER DE TERRENOS — BAIX PENEDÈS</t>
  </si>
  <si>
    <t>Datos extraídos de Idealista · Junio 2026</t>
  </si>
  <si>
    <t>ID</t>
  </si>
  <si>
    <t>Dirección</t>
  </si>
  <si>
    <t>Municipio</t>
  </si>
  <si>
    <t>Zona / Urb.</t>
  </si>
  <si>
    <t>m² Parcela</t>
  </si>
  <si>
    <t>m² Edificables</t>
  </si>
  <si>
    <t>Precio €</t>
  </si>
  <si>
    <t>€/m²</t>
  </si>
  <si>
    <t>Clasificación</t>
  </si>
  <si>
    <t>Plantas</t>
  </si>
  <si>
    <t>Topografía</t>
  </si>
  <si>
    <t>Servicios</t>
  </si>
  <si>
    <t>Vendedor</t>
  </si>
  <si>
    <t>Estado</t>
  </si>
  <si>
    <t>Comentarios</t>
  </si>
  <si>
    <t>C/ Clos del Rectoret</t>
  </si>
  <si>
    <t>Calafell</t>
  </si>
  <si>
    <t>Calafell Poble</t>
  </si>
  <si>
    <t>Urbano (solar) · Unifamiliar</t>
  </si>
  <si>
    <t>PB+1</t>
  </si>
  <si>
    <t>Llano</t>
  </si>
  <si>
    <t>Todos a pie de parcela</t>
  </si>
  <si>
    <t>Jeda Inmobiliaria</t>
  </si>
  <si>
    <t>Contactado
Idealista</t>
  </si>
  <si>
    <t>140m² construibles aprox. Jardín+piscina posible. Pedir nota simple.</t>
  </si>
  <si>
    <t>C/ Lluís Maria Millet, 17</t>
  </si>
  <si>
    <t>El Vendrell</t>
  </si>
  <si>
    <t>Oasis Park - La Franquesa</t>
  </si>
  <si>
    <t>Urbano · Unifamiliar (chalet)</t>
  </si>
  <si>
    <t>—</t>
  </si>
  <si>
    <t>Acceso urbano</t>
  </si>
  <si>
    <t>Metroland SL</t>
  </si>
  <si>
    <t>Completamente llana. Zona Eden Park. También tienen parcelas &gt;500m² a 69.000€.</t>
  </si>
  <si>
    <t>C/ Felip Pedrell, 3</t>
  </si>
  <si>
    <t>Alumbrado público, aceras</t>
  </si>
  <si>
    <t>Esther Palacín</t>
  </si>
  <si>
    <t>Bien ubicado, cerca autobús, parque forestal. Anuncio de hace 11 meses → negociar.</t>
  </si>
  <si>
    <t>C/ Joan Alcover, 2</t>
  </si>
  <si>
    <t>Agua, luz, alcantarillado, alumbrado, aceras</t>
  </si>
  <si>
    <t>David (particular)</t>
  </si>
  <si>
    <t>Último terreno de la calle. Cerca C-32. Vende particular → margen negociación.</t>
  </si>
  <si>
    <t>C/ Marius Torres s/n</t>
  </si>
  <si>
    <t>Urb. Oasis</t>
  </si>
  <si>
    <t>Urbano (solar)</t>
  </si>
  <si>
    <t>Abel (particular)</t>
  </si>
  <si>
    <t>Esquina + junto parque forestal → no se construye al lado. Vistas al mar. Precio negociable.</t>
  </si>
  <si>
    <t>Urb. Baronia del Mar</t>
  </si>
  <si>
    <t>Bellvei</t>
  </si>
  <si>
    <t>Baronia del Mar</t>
  </si>
  <si>
    <t>Inclinada (parte alta)</t>
  </si>
  <si>
    <t>Alcantarillado, alumbrado, calles asfaltadas</t>
  </si>
  <si>
    <t>Fincas Armengol</t>
  </si>
  <si>
    <t>Ligeramente inclinada en la parte alta. Más de 1 mes sin actualizar → explorar precio.</t>
  </si>
  <si>
    <t>Esq. C/ Cunit</t>
  </si>
  <si>
    <t>Urbanizable · Otras</t>
  </si>
  <si>
    <t>Laudor XXI SL</t>
  </si>
  <si>
    <t>REBAJADO. Vistas al mar. Hace esquina. Comisión agencia no incluida. Ojo al precio real.</t>
  </si>
  <si>
    <t>C/ Salou</t>
  </si>
  <si>
    <t>Urbano · Unifamiliar</t>
  </si>
  <si>
    <t>Alcantarillado, aceras</t>
  </si>
  <si>
    <t>Finques Vilarenc</t>
  </si>
  <si>
    <t>Llana y vallada. Edificación existente 30m² (trastero). Vistas al mar. 15 min playas Calafell.</t>
  </si>
  <si>
    <t>C/ Salou, 24</t>
  </si>
  <si>
    <t>Acceso autobús+tren, servicios completos</t>
  </si>
  <si>
    <t>RE/MAX CITY (Rosa Mª F.)</t>
  </si>
  <si>
    <t>Junto golf La Graiera e hípica de Calafell. Vistas despejadas. Actualizado hoy.</t>
  </si>
  <si>
    <t>Bellvei (sin dirección)</t>
  </si>
  <si>
    <t>Baix Penedès</t>
  </si>
  <si>
    <t>m² promedio</t>
  </si>
  <si>
    <t>Precio medio</t>
  </si>
  <si>
    <t>€/m² medio</t>
  </si>
  <si>
    <t>Urbanizable · Unifamiliar</t>
  </si>
  <si>
    <t>Agua, luz, alcantarillado, gas, alumbrado, aceras</t>
  </si>
  <si>
    <t>Sara (particular)</t>
  </si>
  <si>
    <t>Anuncio sin actualizar desde dic 2024 → explorar si sigue disponible. Todos servicios.</t>
  </si>
  <si>
    <t>RESUMEN</t>
  </si>
  <si>
    <t>RANKING POR PRECIO EURxM2  (menor = mejor valor)</t>
  </si>
  <si>
    <t>Terreno</t>
  </si>
  <si>
    <t>6. Urb. Baronia del Mar (Baronia del Mar)</t>
  </si>
  <si>
    <t>7. Esq. C/ Cunit (Baronia del Mar)</t>
  </si>
  <si>
    <t>10. Bellvei (sin dirección) (Baix Penedès)</t>
  </si>
  <si>
    <t>8. C/ Salou (Baronia del Mar)</t>
  </si>
  <si>
    <t>9. C/ Salou, 24 (Bellvei)</t>
  </si>
  <si>
    <t>2. C/ Lluís Maria Millet, 17 (Oasis Park - La Franquesa)</t>
  </si>
  <si>
    <t>5. C/ Marius Torres s/n (Urb. Oasis)</t>
  </si>
  <si>
    <t>4. C/ Joan Alcover, 2 (Oasis Park - La Franquesa)</t>
  </si>
  <si>
    <t>3. C/ Felip Pedrell, 3 (Oasis Park - La Franquesa)</t>
  </si>
  <si>
    <t>1. C/ Clos del Rectoret (Calafell Poble)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</si>
</sst>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€&quot;"/>
  </numFmts>
  <fonts count="13">
    <font>
      <sz val="11.0"/>
      <color theme="1"/>
      <name val="Calibri"/>
      <scheme val="minor"/>
    </font>
    <font>
      <b/>
      <sz val="13.0"/>
      <color rgb="FFE94560"/>
      <name val="Arial"/>
    </font>
    <font/>
    <font>
      <sz val="8.0"/>
      <color rgb="FFAAAAAA"/>
      <name val="Arial"/>
    </font>
    <font>
      <b/>
      <sz val="9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b/>
      <sz val="9.0"/>
      <color rgb="FF1A5276"/>
      <name val="Arial"/>
    </font>
    <font>
      <b/>
      <sz val="9.0"/>
      <color theme="1"/>
      <name val="Arial"/>
    </font>
    <font>
      <u/>
      <sz val="9.0"/>
      <color rgb="FF0000FF"/>
      <name val="Arial"/>
    </font>
    <font>
      <b/>
      <sz val="8.0"/>
      <color rgb="FFFFFFFF"/>
      <name val="Arial"/>
    </font>
    <font>
      <b/>
      <sz val="9.0"/>
      <color rgb="FFE94560"/>
      <name val="Arial"/>
    </font>
    <font>
      <b/>
      <sz val="11.0"/>
      <color rgb="FFE9456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F0F4FF"/>
        <bgColor rgb="FFF0F4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AA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5" fillId="5" fontId="5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ont="1">
      <alignment horizontal="left" readingOrder="0" shrinkToFit="0" vertical="center" wrapText="0"/>
    </xf>
    <xf borderId="5" fillId="5" fontId="5" numFmtId="0" xfId="0" applyAlignment="1" applyBorder="1" applyFont="1">
      <alignment horizontal="left" shrinkToFit="0" vertical="center" wrapText="0"/>
    </xf>
    <xf borderId="5" fillId="5" fontId="5" numFmtId="3" xfId="0" applyAlignment="1" applyBorder="1" applyFont="1" applyNumberFormat="1">
      <alignment horizontal="center" shrinkToFit="0" vertical="center" wrapText="0"/>
    </xf>
    <xf borderId="5" fillId="5" fontId="5" numFmtId="164" xfId="0" applyAlignment="1" applyBorder="1" applyFont="1" applyNumberFormat="1">
      <alignment horizontal="right" shrinkToFit="0" vertical="center" wrapText="0"/>
    </xf>
    <xf borderId="5" fillId="5" fontId="7" numFmtId="164" xfId="0" applyAlignment="1" applyBorder="1" applyFont="1" applyNumberFormat="1">
      <alignment horizontal="center" shrinkToFit="0" vertical="center" wrapText="0"/>
    </xf>
    <xf borderId="5" fillId="5" fontId="5" numFmtId="0" xfId="0" applyAlignment="1" applyBorder="1" applyFont="1">
      <alignment horizontal="left" readingOrder="0" shrinkToFit="0" vertical="center" wrapText="0"/>
    </xf>
    <xf borderId="5" fillId="6" fontId="8" numFmtId="0" xfId="0" applyAlignment="1" applyBorder="1" applyFill="1" applyFont="1">
      <alignment horizontal="center" readingOrder="0" shrinkToFit="0" vertical="center" wrapText="0"/>
    </xf>
    <xf borderId="5" fillId="5" fontId="5" numFmtId="0" xfId="0" applyAlignment="1" applyBorder="1" applyFont="1">
      <alignment horizontal="left" shrinkToFit="0" vertical="center" wrapText="1"/>
    </xf>
    <xf borderId="5" fillId="7" fontId="5" numFmtId="0" xfId="0" applyAlignment="1" applyBorder="1" applyFill="1" applyFont="1">
      <alignment horizontal="center" shrinkToFit="0" vertical="center" wrapText="0"/>
    </xf>
    <xf borderId="5" fillId="7" fontId="9" numFmtId="0" xfId="0" applyAlignment="1" applyBorder="1" applyFont="1">
      <alignment horizontal="left" readingOrder="0" shrinkToFit="0" vertical="center" wrapText="0"/>
    </xf>
    <xf borderId="5" fillId="7" fontId="5" numFmtId="0" xfId="0" applyAlignment="1" applyBorder="1" applyFont="1">
      <alignment horizontal="left" shrinkToFit="0" vertical="center" wrapText="0"/>
    </xf>
    <xf borderId="5" fillId="7" fontId="5" numFmtId="3" xfId="0" applyAlignment="1" applyBorder="1" applyFont="1" applyNumberFormat="1">
      <alignment horizontal="center" shrinkToFit="0" vertical="center" wrapText="0"/>
    </xf>
    <xf borderId="5" fillId="7" fontId="5" numFmtId="164" xfId="0" applyAlignment="1" applyBorder="1" applyFont="1" applyNumberFormat="1">
      <alignment horizontal="right" shrinkToFit="0" vertical="center" wrapText="0"/>
    </xf>
    <xf borderId="5" fillId="7" fontId="7" numFmtId="164" xfId="0" applyAlignment="1" applyBorder="1" applyFont="1" applyNumberFormat="1">
      <alignment horizontal="center" shrinkToFit="0" vertical="center" wrapText="0"/>
    </xf>
    <xf borderId="5" fillId="7" fontId="5" numFmtId="0" xfId="0" applyAlignment="1" applyBorder="1" applyFont="1">
      <alignment horizontal="left" shrinkToFit="0" vertical="center" wrapText="1"/>
    </xf>
    <xf borderId="5" fillId="3" fontId="10" numFmtId="3" xfId="0" applyAlignment="1" applyBorder="1" applyFont="1" applyNumberFormat="1">
      <alignment horizontal="center" shrinkToFit="0" vertical="center" wrapText="0"/>
    </xf>
    <xf borderId="5" fillId="3" fontId="10" numFmtId="164" xfId="0" applyAlignment="1" applyBorder="1" applyFont="1" applyNumberForma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0" fillId="0" fontId="8" numFmtId="3" xfId="0" applyAlignment="1" applyFont="1" applyNumberFormat="1">
      <alignment horizontal="center" shrinkToFit="0" vertical="center" wrapText="0"/>
    </xf>
    <xf borderId="0" fillId="0" fontId="8" numFmtId="164" xfId="0" applyAlignment="1" applyFont="1" applyNumberFormat="1">
      <alignment horizontal="center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5" fillId="8" fontId="5" numFmtId="0" xfId="0" applyAlignment="1" applyBorder="1" applyFill="1" applyFont="1">
      <alignment horizontal="left" shrinkToFit="0" vertical="center" wrapText="0"/>
    </xf>
    <xf borderId="5" fillId="8" fontId="5" numFmtId="3" xfId="0" applyAlignment="1" applyBorder="1" applyFont="1" applyNumberFormat="1">
      <alignment horizontal="right" shrinkToFit="0" vertical="center" wrapText="0"/>
    </xf>
    <xf borderId="5" fillId="8" fontId="5" numFmtId="164" xfId="0" applyAlignment="1" applyBorder="1" applyFont="1" applyNumberFormat="1">
      <alignment horizontal="right" shrinkToFit="0" vertical="center" wrapText="0"/>
    </xf>
    <xf borderId="5" fillId="9" fontId="5" numFmtId="0" xfId="0" applyAlignment="1" applyBorder="1" applyFill="1" applyFont="1">
      <alignment horizontal="left" shrinkToFit="0" vertical="center" wrapText="0"/>
    </xf>
    <xf borderId="5" fillId="9" fontId="5" numFmtId="3" xfId="0" applyAlignment="1" applyBorder="1" applyFont="1" applyNumberFormat="1">
      <alignment horizontal="right" shrinkToFit="0" vertical="center" wrapText="0"/>
    </xf>
    <xf borderId="5" fillId="9" fontId="5" numFmtId="164" xfId="0" applyAlignment="1" applyBorder="1" applyFont="1" applyNumberFormat="1">
      <alignment horizontal="right" shrinkToFit="0" vertical="center" wrapText="0"/>
    </xf>
    <xf borderId="5" fillId="10" fontId="5" numFmtId="0" xfId="0" applyAlignment="1" applyBorder="1" applyFill="1" applyFont="1">
      <alignment horizontal="left" shrinkToFit="0" vertical="center" wrapText="0"/>
    </xf>
    <xf borderId="5" fillId="10" fontId="5" numFmtId="3" xfId="0" applyAlignment="1" applyBorder="1" applyFont="1" applyNumberFormat="1">
      <alignment horizontal="right" shrinkToFit="0" vertical="center" wrapText="0"/>
    </xf>
    <xf borderId="5" fillId="10" fontId="5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ZQH6zqUp7htbzbBm9" TargetMode="External"/><Relationship Id="rId11" Type="http://schemas.openxmlformats.org/officeDocument/2006/relationships/hyperlink" Target="https://www.idealista.com/inmueble/99160150/" TargetMode="External"/><Relationship Id="rId10" Type="http://schemas.openxmlformats.org/officeDocument/2006/relationships/hyperlink" Target="https://maps.app.goo.gl/gFLwSdbQZXRu3Gfy9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idealista.com/inmueble/110329012/" TargetMode="External"/><Relationship Id="rId12" Type="http://schemas.openxmlformats.org/officeDocument/2006/relationships/hyperlink" Target="https://maps.app.goo.gl/TH4HdHjAUhqaJMQaA" TargetMode="External"/><Relationship Id="rId1" Type="http://schemas.openxmlformats.org/officeDocument/2006/relationships/hyperlink" Target="https://www.idealista.com/inmueble/110998364/" TargetMode="External"/><Relationship Id="rId2" Type="http://schemas.openxmlformats.org/officeDocument/2006/relationships/hyperlink" Target="https://maps.app.goo.gl/M5HnZX4SDBbzBsZs9" TargetMode="External"/><Relationship Id="rId3" Type="http://schemas.openxmlformats.org/officeDocument/2006/relationships/hyperlink" Target="https://www.idealista.com/inmueble/108512749/" TargetMode="External"/><Relationship Id="rId4" Type="http://schemas.openxmlformats.org/officeDocument/2006/relationships/hyperlink" Target="https://maps.app.goo.gl/xWD47Kjoi2H4kKXR8" TargetMode="External"/><Relationship Id="rId9" Type="http://schemas.openxmlformats.org/officeDocument/2006/relationships/hyperlink" Target="https://www.idealista.com/inmueble/108898537/" TargetMode="External"/><Relationship Id="rId15" Type="http://schemas.openxmlformats.org/officeDocument/2006/relationships/hyperlink" Target="https://www.idealista.com/inmueble/111329806/" TargetMode="External"/><Relationship Id="rId14" Type="http://schemas.openxmlformats.org/officeDocument/2006/relationships/hyperlink" Target="https://maps.app.goo.gl/srHPoGBsiJekwaeu7" TargetMode="External"/><Relationship Id="rId17" Type="http://schemas.openxmlformats.org/officeDocument/2006/relationships/hyperlink" Target="https://www.idealista.com/inmueble/106649675/" TargetMode="External"/><Relationship Id="rId16" Type="http://schemas.openxmlformats.org/officeDocument/2006/relationships/hyperlink" Target="https://maps.app.goo.gl/ZQH6zqUp7htbzbBm9" TargetMode="External"/><Relationship Id="rId5" Type="http://schemas.openxmlformats.org/officeDocument/2006/relationships/hyperlink" Target="https://www.idealista.com/inmueble/108473564/" TargetMode="External"/><Relationship Id="rId19" Type="http://schemas.openxmlformats.org/officeDocument/2006/relationships/hyperlink" Target="https://www.idealista.com/inmueble/39306684/" TargetMode="External"/><Relationship Id="rId6" Type="http://schemas.openxmlformats.org/officeDocument/2006/relationships/hyperlink" Target="https://maps.app.goo.gl/Tq2iF5fk4RKwKRUq5" TargetMode="External"/><Relationship Id="rId18" Type="http://schemas.openxmlformats.org/officeDocument/2006/relationships/hyperlink" Target="https://maps.app.goo.gl/ZQH6zqUp7htbzbBm9" TargetMode="External"/><Relationship Id="rId7" Type="http://schemas.openxmlformats.org/officeDocument/2006/relationships/hyperlink" Target="https://www.idealista.com/inmueble/105395639/" TargetMode="External"/><Relationship Id="rId8" Type="http://schemas.openxmlformats.org/officeDocument/2006/relationships/hyperlink" Target="https://maps.app.goo.gl/G6sUhrg82BwAnEz8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4.0"/>
    <col customWidth="1" min="4" max="4" width="22.71"/>
    <col customWidth="1" min="5" max="5" width="10.0"/>
    <col customWidth="1" min="6" max="7" width="12.0"/>
    <col customWidth="1" min="8" max="8" width="10.14"/>
    <col customWidth="1" min="9" max="9" width="25.29"/>
    <col customWidth="1" min="10" max="10" width="7.0"/>
    <col customWidth="1" min="11" max="11" width="11.0"/>
    <col customWidth="1" min="12" max="12" width="41.29"/>
    <col customWidth="1" min="13" max="13" width="22.57"/>
    <col customWidth="1" min="14" max="14" width="13.0"/>
    <col customWidth="1" min="15" max="16" width="55.29"/>
    <col customWidth="1" min="17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25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</row>
    <row r="4" ht="31.5" customHeight="1">
      <c r="A4" s="6">
        <v>1.0</v>
      </c>
      <c r="B4" s="7" t="s">
        <v>17</v>
      </c>
      <c r="C4" s="8" t="s">
        <v>18</v>
      </c>
      <c r="D4" s="7" t="s">
        <v>19</v>
      </c>
      <c r="E4" s="9">
        <v>171.0</v>
      </c>
      <c r="F4" s="9"/>
      <c r="G4" s="10">
        <v>79000.0</v>
      </c>
      <c r="H4" s="11">
        <f t="shared" ref="H4:H12" si="1">IFERROR(G4/E4,"")</f>
        <v>461.9883041</v>
      </c>
      <c r="I4" s="8" t="s">
        <v>20</v>
      </c>
      <c r="J4" s="6" t="s">
        <v>21</v>
      </c>
      <c r="K4" s="8" t="s">
        <v>22</v>
      </c>
      <c r="L4" s="8" t="s">
        <v>23</v>
      </c>
      <c r="M4" s="12" t="s">
        <v>24</v>
      </c>
      <c r="N4" s="13" t="s">
        <v>25</v>
      </c>
      <c r="O4" s="14" t="s">
        <v>26</v>
      </c>
    </row>
    <row r="5" ht="31.5" customHeight="1">
      <c r="A5" s="15">
        <v>2.0</v>
      </c>
      <c r="B5" s="16" t="s">
        <v>27</v>
      </c>
      <c r="C5" s="17" t="s">
        <v>28</v>
      </c>
      <c r="D5" s="16" t="s">
        <v>29</v>
      </c>
      <c r="E5" s="18">
        <v>484.0</v>
      </c>
      <c r="F5" s="18">
        <v>484.0</v>
      </c>
      <c r="G5" s="19">
        <v>64000.0</v>
      </c>
      <c r="H5" s="20">
        <f t="shared" si="1"/>
        <v>132.231405</v>
      </c>
      <c r="I5" s="17" t="s">
        <v>30</v>
      </c>
      <c r="J5" s="15" t="s">
        <v>31</v>
      </c>
      <c r="K5" s="17" t="s">
        <v>22</v>
      </c>
      <c r="L5" s="17" t="s">
        <v>32</v>
      </c>
      <c r="M5" s="17" t="s">
        <v>33</v>
      </c>
      <c r="N5" s="13" t="s">
        <v>25</v>
      </c>
      <c r="O5" s="21" t="s">
        <v>34</v>
      </c>
    </row>
    <row r="6" ht="31.5" customHeight="1">
      <c r="A6" s="6">
        <v>3.0</v>
      </c>
      <c r="B6" s="7" t="s">
        <v>35</v>
      </c>
      <c r="C6" s="8" t="s">
        <v>28</v>
      </c>
      <c r="D6" s="7" t="s">
        <v>29</v>
      </c>
      <c r="E6" s="9">
        <v>419.0</v>
      </c>
      <c r="F6" s="9">
        <v>200.0</v>
      </c>
      <c r="G6" s="10">
        <v>67000.0</v>
      </c>
      <c r="H6" s="11">
        <f t="shared" si="1"/>
        <v>159.9045346</v>
      </c>
      <c r="I6" s="8" t="s">
        <v>20</v>
      </c>
      <c r="J6" s="6" t="s">
        <v>21</v>
      </c>
      <c r="K6" s="8" t="s">
        <v>22</v>
      </c>
      <c r="L6" s="8" t="s">
        <v>36</v>
      </c>
      <c r="M6" s="8" t="s">
        <v>37</v>
      </c>
      <c r="N6" s="13" t="s">
        <v>25</v>
      </c>
      <c r="O6" s="14" t="s">
        <v>38</v>
      </c>
    </row>
    <row r="7" ht="31.5" customHeight="1">
      <c r="A7" s="15">
        <v>4.0</v>
      </c>
      <c r="B7" s="16" t="s">
        <v>39</v>
      </c>
      <c r="C7" s="17" t="s">
        <v>28</v>
      </c>
      <c r="D7" s="16" t="s">
        <v>29</v>
      </c>
      <c r="E7" s="18">
        <v>570.0</v>
      </c>
      <c r="F7" s="18">
        <v>300.0</v>
      </c>
      <c r="G7" s="19">
        <v>90000.0</v>
      </c>
      <c r="H7" s="20">
        <f t="shared" si="1"/>
        <v>157.8947368</v>
      </c>
      <c r="I7" s="17" t="s">
        <v>20</v>
      </c>
      <c r="J7" s="15" t="s">
        <v>31</v>
      </c>
      <c r="K7" s="17" t="s">
        <v>31</v>
      </c>
      <c r="L7" s="17" t="s">
        <v>40</v>
      </c>
      <c r="M7" s="17" t="s">
        <v>41</v>
      </c>
      <c r="N7" s="13" t="s">
        <v>25</v>
      </c>
      <c r="O7" s="21" t="s">
        <v>42</v>
      </c>
    </row>
    <row r="8" ht="31.5" customHeight="1">
      <c r="A8" s="6">
        <v>5.0</v>
      </c>
      <c r="B8" s="7" t="s">
        <v>43</v>
      </c>
      <c r="C8" s="8" t="s">
        <v>28</v>
      </c>
      <c r="D8" s="7" t="s">
        <v>44</v>
      </c>
      <c r="E8" s="9">
        <v>516.0</v>
      </c>
      <c r="F8" s="9">
        <v>155.0</v>
      </c>
      <c r="G8" s="10">
        <v>79000.0</v>
      </c>
      <c r="H8" s="11">
        <f t="shared" si="1"/>
        <v>153.1007752</v>
      </c>
      <c r="I8" s="8" t="s">
        <v>45</v>
      </c>
      <c r="J8" s="6" t="s">
        <v>31</v>
      </c>
      <c r="K8" s="8" t="s">
        <v>31</v>
      </c>
      <c r="L8" s="8" t="s">
        <v>40</v>
      </c>
      <c r="M8" s="8" t="s">
        <v>46</v>
      </c>
      <c r="N8" s="13" t="s">
        <v>25</v>
      </c>
      <c r="O8" s="14" t="s">
        <v>47</v>
      </c>
    </row>
    <row r="9" ht="31.5" customHeight="1">
      <c r="A9" s="15">
        <v>6.0</v>
      </c>
      <c r="B9" s="16" t="s">
        <v>48</v>
      </c>
      <c r="C9" s="17" t="s">
        <v>49</v>
      </c>
      <c r="D9" s="16" t="s">
        <v>50</v>
      </c>
      <c r="E9" s="18">
        <v>710.0</v>
      </c>
      <c r="F9" s="18"/>
      <c r="G9" s="19">
        <v>45000.0</v>
      </c>
      <c r="H9" s="20">
        <f t="shared" si="1"/>
        <v>63.38028169</v>
      </c>
      <c r="I9" s="17" t="s">
        <v>31</v>
      </c>
      <c r="J9" s="15" t="s">
        <v>31</v>
      </c>
      <c r="K9" s="17" t="s">
        <v>51</v>
      </c>
      <c r="L9" s="17" t="s">
        <v>52</v>
      </c>
      <c r="M9" s="17" t="s">
        <v>53</v>
      </c>
      <c r="N9" s="13" t="s">
        <v>25</v>
      </c>
      <c r="O9" s="21" t="s">
        <v>54</v>
      </c>
    </row>
    <row r="10" ht="31.5" customHeight="1">
      <c r="A10" s="6">
        <v>7.0</v>
      </c>
      <c r="B10" s="7" t="s">
        <v>55</v>
      </c>
      <c r="C10" s="8" t="s">
        <v>49</v>
      </c>
      <c r="D10" s="7" t="s">
        <v>50</v>
      </c>
      <c r="E10" s="9">
        <v>644.0</v>
      </c>
      <c r="F10" s="9"/>
      <c r="G10" s="10">
        <v>42000.0</v>
      </c>
      <c r="H10" s="11">
        <f t="shared" si="1"/>
        <v>65.2173913</v>
      </c>
      <c r="I10" s="8" t="s">
        <v>56</v>
      </c>
      <c r="J10" s="6" t="s">
        <v>31</v>
      </c>
      <c r="K10" s="8" t="s">
        <v>22</v>
      </c>
      <c r="L10" s="8" t="s">
        <v>31</v>
      </c>
      <c r="M10" s="8" t="s">
        <v>57</v>
      </c>
      <c r="N10" s="13" t="s">
        <v>25</v>
      </c>
      <c r="O10" s="14" t="s">
        <v>58</v>
      </c>
    </row>
    <row r="11" ht="31.5" customHeight="1">
      <c r="A11" s="15">
        <v>8.0</v>
      </c>
      <c r="B11" s="16" t="s">
        <v>59</v>
      </c>
      <c r="C11" s="17" t="s">
        <v>49</v>
      </c>
      <c r="D11" s="16" t="s">
        <v>50</v>
      </c>
      <c r="E11" s="18">
        <v>679.0</v>
      </c>
      <c r="F11" s="18"/>
      <c r="G11" s="19">
        <v>60000.0</v>
      </c>
      <c r="H11" s="20">
        <f t="shared" si="1"/>
        <v>88.365243</v>
      </c>
      <c r="I11" s="17" t="s">
        <v>60</v>
      </c>
      <c r="J11" s="15" t="s">
        <v>31</v>
      </c>
      <c r="K11" s="17" t="s">
        <v>22</v>
      </c>
      <c r="L11" s="17" t="s">
        <v>61</v>
      </c>
      <c r="M11" s="17" t="s">
        <v>62</v>
      </c>
      <c r="N11" s="13" t="s">
        <v>25</v>
      </c>
      <c r="O11" s="21" t="s">
        <v>63</v>
      </c>
    </row>
    <row r="12" ht="31.5" customHeight="1">
      <c r="A12" s="6">
        <v>9.0</v>
      </c>
      <c r="B12" s="7" t="s">
        <v>64</v>
      </c>
      <c r="C12" s="8" t="s">
        <v>49</v>
      </c>
      <c r="D12" s="7" t="s">
        <v>49</v>
      </c>
      <c r="E12" s="9">
        <v>720.0</v>
      </c>
      <c r="F12" s="9"/>
      <c r="G12" s="10">
        <v>65000.0</v>
      </c>
      <c r="H12" s="11">
        <f t="shared" si="1"/>
        <v>90.27777778</v>
      </c>
      <c r="I12" s="8" t="s">
        <v>20</v>
      </c>
      <c r="J12" s="6" t="s">
        <v>31</v>
      </c>
      <c r="K12" s="8" t="s">
        <v>31</v>
      </c>
      <c r="L12" s="8" t="s">
        <v>65</v>
      </c>
      <c r="M12" s="8" t="s">
        <v>66</v>
      </c>
      <c r="N12" s="13" t="s">
        <v>25</v>
      </c>
      <c r="O12" s="14" t="s">
        <v>67</v>
      </c>
    </row>
    <row r="13" ht="31.5" customHeight="1">
      <c r="A13" s="15">
        <v>10.0</v>
      </c>
      <c r="B13" s="16" t="s">
        <v>68</v>
      </c>
      <c r="C13" s="17" t="s">
        <v>49</v>
      </c>
      <c r="D13" s="16" t="s">
        <v>69</v>
      </c>
      <c r="E13" s="22" t="s">
        <v>70</v>
      </c>
      <c r="F13" s="18">
        <v>638.0</v>
      </c>
      <c r="G13" s="23" t="s">
        <v>71</v>
      </c>
      <c r="H13" s="23" t="s">
        <v>72</v>
      </c>
      <c r="I13" s="17" t="s">
        <v>73</v>
      </c>
      <c r="J13" s="15" t="s">
        <v>31</v>
      </c>
      <c r="K13" s="17" t="s">
        <v>31</v>
      </c>
      <c r="L13" s="17" t="s">
        <v>74</v>
      </c>
      <c r="M13" s="17" t="s">
        <v>75</v>
      </c>
      <c r="N13" s="13" t="s">
        <v>25</v>
      </c>
      <c r="O13" s="21" t="s">
        <v>76</v>
      </c>
    </row>
    <row r="14">
      <c r="A14" s="24" t="s">
        <v>77</v>
      </c>
      <c r="B14" s="2"/>
      <c r="C14" s="2"/>
      <c r="D14" s="3"/>
      <c r="E14" s="25">
        <f>AVERAGE(E4:E13)</f>
        <v>545.8888889</v>
      </c>
      <c r="G14" s="26">
        <f t="shared" ref="G14:H14" si="2">AVERAGE(G4:G13)</f>
        <v>65666.66667</v>
      </c>
      <c r="H14" s="26">
        <f t="shared" si="2"/>
        <v>152.4844944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2:O2"/>
    <mergeCell ref="A14:D14"/>
  </mergeCells>
  <hyperlinks>
    <hyperlink r:id="rId1" ref="B4"/>
    <hyperlink r:id="rId2" ref="D4"/>
    <hyperlink r:id="rId3" ref="B5"/>
    <hyperlink r:id="rId4" ref="D5"/>
    <hyperlink r:id="rId5" ref="B6"/>
    <hyperlink r:id="rId6" ref="D6"/>
    <hyperlink r:id="rId7" ref="B7"/>
    <hyperlink r:id="rId8" ref="D7"/>
    <hyperlink r:id="rId9" ref="B8"/>
    <hyperlink r:id="rId10" ref="D8"/>
    <hyperlink r:id="rId11" ref="B9"/>
    <hyperlink r:id="rId12" ref="D9"/>
    <hyperlink r:id="rId13" ref="B10"/>
    <hyperlink r:id="rId14" ref="D10"/>
    <hyperlink r:id="rId15" ref="B11"/>
    <hyperlink r:id="rId16" ref="D11"/>
    <hyperlink r:id="rId17" ref="B12"/>
    <hyperlink r:id="rId18" ref="D12"/>
    <hyperlink r:id="rId19" ref="B13"/>
    <hyperlink r:id="rId20" ref="D13"/>
  </hyperlinks>
  <printOptions/>
  <pageMargins bottom="1.0" footer="0.0" header="0.0" left="0.75" right="0.75" top="1.0"/>
  <pageSetup paperSize="9" orientation="portrait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0"/>
    <col customWidth="1" min="2" max="2" width="14.0"/>
    <col customWidth="1" min="3" max="3" width="11.0"/>
    <col customWidth="1" min="4" max="4" width="13.0"/>
    <col customWidth="1" min="5" max="5" width="10.0"/>
    <col customWidth="1" min="6" max="26" width="8.71"/>
  </cols>
  <sheetData>
    <row r="1" ht="25.5" customHeight="1">
      <c r="A1" s="27" t="s">
        <v>78</v>
      </c>
      <c r="B1" s="2"/>
      <c r="C1" s="2"/>
      <c r="D1" s="2"/>
      <c r="E1" s="3"/>
    </row>
    <row r="2">
      <c r="A2" s="28" t="s">
        <v>79</v>
      </c>
      <c r="B2" s="28" t="s">
        <v>4</v>
      </c>
      <c r="C2" s="28" t="s">
        <v>6</v>
      </c>
      <c r="D2" s="28" t="s">
        <v>8</v>
      </c>
      <c r="E2" s="28" t="s">
        <v>9</v>
      </c>
    </row>
    <row r="3" ht="18.0" customHeight="1">
      <c r="A3" s="29" t="s">
        <v>80</v>
      </c>
      <c r="B3" s="29" t="s">
        <v>49</v>
      </c>
      <c r="C3" s="30">
        <v>710.0</v>
      </c>
      <c r="D3" s="31">
        <v>45000.0</v>
      </c>
      <c r="E3" s="31">
        <v>63.3802816901409</v>
      </c>
    </row>
    <row r="4" ht="18.0" customHeight="1">
      <c r="A4" s="29" t="s">
        <v>81</v>
      </c>
      <c r="B4" s="29" t="s">
        <v>49</v>
      </c>
      <c r="C4" s="30">
        <v>644.0</v>
      </c>
      <c r="D4" s="31">
        <v>42000.0</v>
      </c>
      <c r="E4" s="31">
        <v>65.2173913043478</v>
      </c>
    </row>
    <row r="5" ht="18.0" customHeight="1">
      <c r="A5" s="32" t="s">
        <v>82</v>
      </c>
      <c r="B5" s="32" t="s">
        <v>49</v>
      </c>
      <c r="C5" s="33">
        <v>638.0</v>
      </c>
      <c r="D5" s="34">
        <v>50000.0</v>
      </c>
      <c r="E5" s="34">
        <v>78.3699059561129</v>
      </c>
    </row>
    <row r="6" ht="18.0" customHeight="1">
      <c r="A6" s="32" t="s">
        <v>83</v>
      </c>
      <c r="B6" s="32" t="s">
        <v>49</v>
      </c>
      <c r="C6" s="33">
        <v>679.0</v>
      </c>
      <c r="D6" s="34">
        <v>60000.0</v>
      </c>
      <c r="E6" s="34">
        <v>88.3652430044183</v>
      </c>
    </row>
    <row r="7" ht="18.0" customHeight="1">
      <c r="A7" s="32" t="s">
        <v>84</v>
      </c>
      <c r="B7" s="32" t="s">
        <v>49</v>
      </c>
      <c r="C7" s="33">
        <v>720.0</v>
      </c>
      <c r="D7" s="34">
        <v>65000.0</v>
      </c>
      <c r="E7" s="34">
        <v>90.2777777777778</v>
      </c>
    </row>
    <row r="8" ht="18.0" customHeight="1">
      <c r="A8" s="35" t="s">
        <v>85</v>
      </c>
      <c r="B8" s="35" t="s">
        <v>28</v>
      </c>
      <c r="C8" s="36">
        <v>484.0</v>
      </c>
      <c r="D8" s="37">
        <v>64000.0</v>
      </c>
      <c r="E8" s="37">
        <v>132.231404958678</v>
      </c>
    </row>
    <row r="9" ht="18.0" customHeight="1">
      <c r="A9" s="35" t="s">
        <v>86</v>
      </c>
      <c r="B9" s="35" t="s">
        <v>28</v>
      </c>
      <c r="C9" s="36">
        <v>516.0</v>
      </c>
      <c r="D9" s="37">
        <v>79000.0</v>
      </c>
      <c r="E9" s="37">
        <v>153.100775193799</v>
      </c>
    </row>
    <row r="10" ht="18.0" customHeight="1">
      <c r="A10" s="35" t="s">
        <v>87</v>
      </c>
      <c r="B10" s="35" t="s">
        <v>28</v>
      </c>
      <c r="C10" s="36">
        <v>570.0</v>
      </c>
      <c r="D10" s="37">
        <v>90000.0</v>
      </c>
      <c r="E10" s="37">
        <v>157.894736842105</v>
      </c>
    </row>
    <row r="11" ht="18.0" customHeight="1">
      <c r="A11" s="35" t="s">
        <v>88</v>
      </c>
      <c r="B11" s="35" t="s">
        <v>28</v>
      </c>
      <c r="C11" s="36">
        <v>419.0</v>
      </c>
      <c r="D11" s="37">
        <v>67000.0</v>
      </c>
      <c r="E11" s="37">
        <v>159.904534606205</v>
      </c>
    </row>
    <row r="12" ht="18.0" customHeight="1">
      <c r="A12" s="35" t="s">
        <v>89</v>
      </c>
      <c r="B12" s="35" t="s">
        <v>18</v>
      </c>
      <c r="C12" s="36">
        <v>171.0</v>
      </c>
      <c r="D12" s="37">
        <v>79000.0</v>
      </c>
      <c r="E12" s="37">
        <v>461.988304093567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2026-06-15T08:50:22Z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